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rehouse Dataset" sheetId="2" state="visible" r:id="rId4"/>
    <sheet name="Optimized Transfer Plan" sheetId="3" state="visible" r:id="rId5"/>
    <sheet name="Sensitivity Analysis" sheetId="4" state="visible" r:id="rId6"/>
    <sheet name="LP vs Heuristic" sheetId="5" state="visible" r:id="rId7"/>
    <sheet name="Assumptions &amp; Metho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<sst xmlns="http://schemas.openxmlformats.org/spreadsheetml/2006/main" count="263" uniqueCount="165">
  <si>
    <t xml:space="preserve">Global Stock Reallocation — Results Summary (India)</t>
  </si>
  <si>
    <t xml:space="preserve">Specialty chemicals network, 30 warehouses across India — real city locations/distances/freight &amp; warehousing benchmarks, synthetic inventory levels</t>
  </si>
  <si>
    <t xml:space="preserve">Metric</t>
  </si>
  <si>
    <t xml:space="preserve">Value</t>
  </si>
  <si>
    <t xml:space="preserve">Total surplus units identified</t>
  </si>
  <si>
    <t xml:space="preserve">11,754</t>
  </si>
  <si>
    <t xml:space="preserve">Total deficit units identified</t>
  </si>
  <si>
    <t xml:space="preserve">1,936</t>
  </si>
  <si>
    <t xml:space="preserve">Units reallocated (optimized plan)</t>
  </si>
  <si>
    <t xml:space="preserve">Idle stock — before (do-nothing)</t>
  </si>
  <si>
    <t xml:space="preserve">11,754 units</t>
  </si>
  <si>
    <t xml:space="preserve">Idle stock — after (optimized)</t>
  </si>
  <si>
    <t xml:space="preserve">9,816 units</t>
  </si>
  <si>
    <t xml:space="preserve">Idle stock % reduction</t>
  </si>
  <si>
    <t xml:space="preserve">16.5%</t>
  </si>
  <si>
    <t xml:space="preserve">At-risk warehouses de-stocked (stockouts avoided)</t>
  </si>
  <si>
    <t xml:space="preserve">8 of 8</t>
  </si>
  <si>
    <t xml:space="preserve">Holding cost saved (6-mo horizon)</t>
  </si>
  <si>
    <t xml:space="preserve">Rs.60,454.80</t>
  </si>
  <si>
    <t xml:space="preserve">Stockout cost avoided</t>
  </si>
  <si>
    <t xml:space="preserve">Rs.251,680.00</t>
  </si>
  <si>
    <t xml:space="preserve">Expiry/waste cost avoided</t>
  </si>
  <si>
    <t xml:space="preserve">Rs.425,920.00</t>
  </si>
  <si>
    <t xml:space="preserve">Transfer/logistics cost paid</t>
  </si>
  <si>
    <t xml:space="preserve">Rs.24,516.53</t>
  </si>
  <si>
    <t xml:space="preserve">NET Rs. saved vs. do-nothing baseline</t>
  </si>
  <si>
    <t xml:space="preserve">Rs.713,538.27</t>
  </si>
  <si>
    <t xml:space="preserve">Misallocated-stock improvement (turnover proxy)</t>
  </si>
  <si>
    <t xml:space="preserve">28.3%</t>
  </si>
  <si>
    <t xml:space="preserve">Value of optimization vs. naive heuristic</t>
  </si>
  <si>
    <t xml:space="preserve">Rs.41,467.56 more saved (6.2% uplift)</t>
  </si>
  <si>
    <t xml:space="preserve">Robustness (±15% demand swing)</t>
  </si>
  <si>
    <t xml:space="preserve">Net savings range Rs.511,081–Rs.839,062, plan stays net-positive and de-risks all warehouses in every scenario</t>
  </si>
  <si>
    <t xml:space="preserve">warehouse_id</t>
  </si>
  <si>
    <t xml:space="preserve">city</t>
  </si>
  <si>
    <t xml:space="preserve">zone</t>
  </si>
  <si>
    <t xml:space="preserve">city_tier</t>
  </si>
  <si>
    <t xml:space="preserve">current_stock</t>
  </si>
  <si>
    <t xml:space="preserve">avg_monthly_demand</t>
  </si>
  <si>
    <t xml:space="preserve">days_of_stock_cover</t>
  </si>
  <si>
    <t xml:space="preserve">expiry_days_remaining</t>
  </si>
  <si>
    <t xml:space="preserve">unit_holding_cost_per_month_inr</t>
  </si>
  <si>
    <t xml:space="preserve">surplus_units</t>
  </si>
  <si>
    <t xml:space="preserve">deficit_units</t>
  </si>
  <si>
    <t xml:space="preserve">is_urgent_expiry</t>
  </si>
  <si>
    <t xml:space="preserve">WH01</t>
  </si>
  <si>
    <t xml:space="preserve">Delhi</t>
  </si>
  <si>
    <t xml:space="preserve">North</t>
  </si>
  <si>
    <t xml:space="preserve">Metro</t>
  </si>
  <si>
    <t xml:space="preserve">WH02</t>
  </si>
  <si>
    <t xml:space="preserve">Gurugram</t>
  </si>
  <si>
    <t xml:space="preserve">WH03</t>
  </si>
  <si>
    <t xml:space="preserve">Ludhiana</t>
  </si>
  <si>
    <t xml:space="preserve">Tier2</t>
  </si>
  <si>
    <t xml:space="preserve">WH04</t>
  </si>
  <si>
    <t xml:space="preserve">Jaipur</t>
  </si>
  <si>
    <t xml:space="preserve">WH05</t>
  </si>
  <si>
    <t xml:space="preserve">Kanpur</t>
  </si>
  <si>
    <t xml:space="preserve">WH06</t>
  </si>
  <si>
    <t xml:space="preserve">Lucknow</t>
  </si>
  <si>
    <t xml:space="preserve">WH07</t>
  </si>
  <si>
    <t xml:space="preserve">Mumbai</t>
  </si>
  <si>
    <t xml:space="preserve">West</t>
  </si>
  <si>
    <t xml:space="preserve">WH08</t>
  </si>
  <si>
    <t xml:space="preserve">Pune</t>
  </si>
  <si>
    <t xml:space="preserve">WH09</t>
  </si>
  <si>
    <t xml:space="preserve">Ahmedabad</t>
  </si>
  <si>
    <t xml:space="preserve">WH10</t>
  </si>
  <si>
    <t xml:space="preserve">Surat</t>
  </si>
  <si>
    <t xml:space="preserve">WH11</t>
  </si>
  <si>
    <t xml:space="preserve">Vadodara</t>
  </si>
  <si>
    <t xml:space="preserve">WH12</t>
  </si>
  <si>
    <t xml:space="preserve">Ankleshwar</t>
  </si>
  <si>
    <t xml:space="preserve">WH13</t>
  </si>
  <si>
    <t xml:space="preserve">Vapi</t>
  </si>
  <si>
    <t xml:space="preserve">WH14</t>
  </si>
  <si>
    <t xml:space="preserve">Nashik</t>
  </si>
  <si>
    <t xml:space="preserve">WH15</t>
  </si>
  <si>
    <t xml:space="preserve">Nagpur</t>
  </si>
  <si>
    <t xml:space="preserve">Central</t>
  </si>
  <si>
    <t xml:space="preserve">WH16</t>
  </si>
  <si>
    <t xml:space="preserve">Indore</t>
  </si>
  <si>
    <t xml:space="preserve">WH17</t>
  </si>
  <si>
    <t xml:space="preserve">Bhopal</t>
  </si>
  <si>
    <t xml:space="preserve">WH18</t>
  </si>
  <si>
    <t xml:space="preserve">Chennai</t>
  </si>
  <si>
    <t xml:space="preserve">South</t>
  </si>
  <si>
    <t xml:space="preserve">WH19</t>
  </si>
  <si>
    <t xml:space="preserve">Bengaluru</t>
  </si>
  <si>
    <t xml:space="preserve">WH20</t>
  </si>
  <si>
    <t xml:space="preserve">Hyderabad</t>
  </si>
  <si>
    <t xml:space="preserve">WH21</t>
  </si>
  <si>
    <t xml:space="preserve">Coimbatore</t>
  </si>
  <si>
    <t xml:space="preserve">WH22</t>
  </si>
  <si>
    <t xml:space="preserve">Vijayawada</t>
  </si>
  <si>
    <t xml:space="preserve">WH23</t>
  </si>
  <si>
    <t xml:space="preserve">Visakhapatnam</t>
  </si>
  <si>
    <t xml:space="preserve">WH24</t>
  </si>
  <si>
    <t xml:space="preserve">Kochi</t>
  </si>
  <si>
    <t xml:space="preserve">WH25</t>
  </si>
  <si>
    <t xml:space="preserve">Hosur</t>
  </si>
  <si>
    <t xml:space="preserve">WH26</t>
  </si>
  <si>
    <t xml:space="preserve">Kolkata</t>
  </si>
  <si>
    <t xml:space="preserve">East</t>
  </si>
  <si>
    <t xml:space="preserve">WH27</t>
  </si>
  <si>
    <t xml:space="preserve">Bhubaneswar</t>
  </si>
  <si>
    <t xml:space="preserve">WH28</t>
  </si>
  <si>
    <t xml:space="preserve">Patna</t>
  </si>
  <si>
    <t xml:space="preserve">WH29</t>
  </si>
  <si>
    <t xml:space="preserve">Jamshedpur</t>
  </si>
  <si>
    <t xml:space="preserve">WH30</t>
  </si>
  <si>
    <t xml:space="preserve">Guwahati</t>
  </si>
  <si>
    <t xml:space="preserve">Northeast</t>
  </si>
  <si>
    <t xml:space="preserve">City/location/zone are real. Current stock, demand, and expiry are synthetic (no real company publishes this data) but demand is scaled by real city-tier (Metro/Tier2). Holding cost is grounded in real Indian warehousing rent benchmarks. See PRD &amp; Assumptions sheet.</t>
  </si>
  <si>
    <t xml:space="preserve">from_warehouse</t>
  </si>
  <si>
    <t xml:space="preserve">from_city</t>
  </si>
  <si>
    <t xml:space="preserve">to_warehouse</t>
  </si>
  <si>
    <t xml:space="preserve">to_city</t>
  </si>
  <si>
    <t xml:space="preserve">units_transferred</t>
  </si>
  <si>
    <t xml:space="preserve">cost_per_unit_inr</t>
  </si>
  <si>
    <t xml:space="preserve">transfer_cost_inr</t>
  </si>
  <si>
    <t xml:space="preserve">from_urgent_expiry</t>
  </si>
  <si>
    <t xml:space="preserve">Total units reallocated:</t>
  </si>
  <si>
    <t xml:space="preserve">Total transfer cost (Rs.):</t>
  </si>
  <si>
    <t xml:space="preserve">scenario</t>
  </si>
  <si>
    <t xml:space="preserve">demand_multiplier</t>
  </si>
  <si>
    <t xml:space="preserve">units_reallocated</t>
  </si>
  <si>
    <t xml:space="preserve">idle_stock_pct_reduction</t>
  </si>
  <si>
    <t xml:space="preserve">stockouts_avoided_count</t>
  </si>
  <si>
    <t xml:space="preserve">net_rupee_saved_inr</t>
  </si>
  <si>
    <t xml:space="preserve">Base</t>
  </si>
  <si>
    <t xml:space="preserve">Demand +15%</t>
  </si>
  <si>
    <t xml:space="preserve">Demand -15%</t>
  </si>
  <si>
    <t xml:space="preserve">Each row is a full model re-run with demand scaled by the given multiplier. Confirms the plan holds up under demand forecast error, not just at the point estimate.</t>
  </si>
  <si>
    <t xml:space="preserve">Naive Heuristic (sort &amp; match)</t>
  </si>
  <si>
    <t xml:space="preserve">LP Optimization</t>
  </si>
  <si>
    <t xml:space="preserve">Units reallocated</t>
  </si>
  <si>
    <t xml:space="preserve">Transfer cost paid (Rs.)</t>
  </si>
  <si>
    <t xml:space="preserve">Idle stock remaining</t>
  </si>
  <si>
    <t xml:space="preserve">Total network cost (Rs.)</t>
  </si>
  <si>
    <t xml:space="preserve">Net Rs. saved vs. do-nothing</t>
  </si>
  <si>
    <t xml:space="preserve">Heuristic = greedy sort-and-match by expiry/cover-days, ignoring transfer cost/routing. LP optimization captures the same service level (deficit filled) at lower total network cost.</t>
  </si>
  <si>
    <t xml:space="preserve">Assumptions &amp; Methodology Log</t>
  </si>
  <si>
    <t xml:space="preserve">Warehouse locations</t>
  </si>
  <si>
    <t xml:space="preserve">REAL: 30 actual Indian cities (real lat/long), including genuine specialty-chemicals industry hubs (Vadodara, Ankleshwar, Vapi). Not a real company's actual network.</t>
  </si>
  <si>
    <t xml:space="preserve">Inter-city distances</t>
  </si>
  <si>
    <t xml:space="preserve">REAL: computed via haversine (great-circle) formula from real coordinates, x1.35 road-distance factor (standard India rule-of-thumb vs. straight-line). Sanity-checked against known real road distances (e.g. Delhi-Mumbai).</t>
  </si>
  <si>
    <t xml:space="preserve">Transfer cost</t>
  </si>
  <si>
    <t xml:space="preserve">REAL BENCHMARK: Rs.22/km, mid of the published Rs.20-30/km rate for a medium (9-12 ton) FTL truck in India (2025-26 market rates, multiple industry sources). Assumes ~1,000 units per truckload (stated assumption -- real payload depends on packaging, which isn't public).</t>
  </si>
  <si>
    <t xml:space="preserve">Holding cost</t>
  </si>
  <si>
    <t xml:space="preserve">REAL BENCHMARK: Rs.100-300/pallet/month published Indian warehousing rate, varied by city tier (Metro ~Rs.275, Tier2 ~Rs.140). Assumes ~50 units/pallet (stated assumption).</t>
  </si>
  <si>
    <t xml:space="preserve">Current stock / demand / expiry</t>
  </si>
  <si>
    <t xml:space="preserve">SYNTHETIC: no real company publishes this data. Demand is scaled by real city-tier classification (Metro vs Tier2), not picked arbitrarily -- but the specific figures are modeled, generated to a deliberately realistic and messy distribution. See PRD Section 4 logic.</t>
  </si>
  <si>
    <t xml:space="preserve">Surplus / deficit thresholds</t>
  </si>
  <si>
    <t xml:space="preserve">&gt;45 / &lt;20 days of stock cover. Rationale: ~1 month buffer + ~1 month transit time.</t>
  </si>
  <si>
    <t xml:space="preserve">Urgent expiry threshold</t>
  </si>
  <si>
    <t xml:space="preserve">&lt;45 days to expiry.</t>
  </si>
  <si>
    <t xml:space="preserve">Waste penalty (near-expiry)</t>
  </si>
  <si>
    <t xml:space="preserve">Rs.220.0/unit -- soft penalty (not a hard quota) for leaving near-expiry surplus unallocated, reflecting write-off/heavy-discount risk. A hard 'X% must move' constraint was tried first and found infeasible at this network size when aggregate near-expiry surplus exceeds total deficit capacity -- the soft penalty is both more realistic and avoids that failure mode.</t>
  </si>
  <si>
    <t xml:space="preserve">Stockout penalty</t>
  </si>
  <si>
    <t xml:space="preserve">Rs.130.0/unit -- proxy for the cost of leaving deficit unmet (emergency procurement / lost service). Stated assumption, not sourced.</t>
  </si>
  <si>
    <t xml:space="preserve">Holding cost horizon</t>
  </si>
  <si>
    <t xml:space="preserve">6 months.</t>
  </si>
  <si>
    <t xml:space="preserve">Solver</t>
  </si>
  <si>
    <t xml:space="preserve">PuLP (CBC backend), transportation-problem LP formulation with soft priority penalties. See 03_lp_model.py for full formulation.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</si>
</sst>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7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</row>
    <row r="10" customFormat="false" ht="15" hidden="false" customHeight="false" outlineLevel="0" collapsed="false">
      <c r="A10" s="4" t="s">
        <v>13</v>
      </c>
      <c r="B10" s="4" t="s">
        <v>14</v>
      </c>
    </row>
    <row r="11" customFormat="false" ht="15" hidden="false" customHeight="false" outlineLevel="0" collapsed="false">
      <c r="A11" s="4" t="s">
        <v>15</v>
      </c>
      <c r="B11" s="4" t="s">
        <v>16</v>
      </c>
    </row>
    <row r="12" customFormat="false" ht="15" hidden="false" customHeight="false" outlineLevel="0" collapsed="false">
      <c r="A12" s="4" t="s">
        <v>17</v>
      </c>
      <c r="B12" s="4" t="s">
        <v>18</v>
      </c>
    </row>
    <row r="13" customFormat="false" ht="15" hidden="false" customHeight="false" outlineLevel="0" collapsed="false">
      <c r="A13" s="4" t="s">
        <v>19</v>
      </c>
      <c r="B13" s="4" t="s">
        <v>20</v>
      </c>
    </row>
    <row r="14" customFormat="false" ht="15" hidden="false" customHeight="false" outlineLevel="0" collapsed="false">
      <c r="A14" s="4" t="s">
        <v>21</v>
      </c>
      <c r="B14" s="4" t="s">
        <v>22</v>
      </c>
    </row>
    <row r="15" customFormat="false" ht="15" hidden="false" customHeight="false" outlineLevel="0" collapsed="false">
      <c r="A15" s="4" t="s">
        <v>23</v>
      </c>
      <c r="B15" s="4" t="s">
        <v>24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s">
        <v>28</v>
      </c>
    </row>
    <row r="18" customFormat="false" ht="15" hidden="false" customHeight="false" outlineLevel="0" collapsed="false">
      <c r="A18" s="4"/>
      <c r="B18" s="4"/>
    </row>
    <row r="19" customFormat="false" ht="15" hidden="false" customHeight="false" outlineLevel="0" collapsed="false">
      <c r="A19" s="4" t="s">
        <v>29</v>
      </c>
      <c r="B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21"/>
    <col collapsed="false" customWidth="true" hidden="false" outlineLevel="0" max="8" min="8" style="0" width="23"/>
    <col collapsed="false" customWidth="true" hidden="false" outlineLevel="0" max="9" min="9" style="0" width="33"/>
    <col collapsed="false" customWidth="true" hidden="false" outlineLevel="0" max="11" min="10" style="0" width="15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0" t="s">
        <v>48</v>
      </c>
      <c r="E2" s="0" t="n">
        <v>2317</v>
      </c>
      <c r="F2" s="0" t="n">
        <v>539</v>
      </c>
      <c r="G2" s="0" t="n">
        <v>129</v>
      </c>
      <c r="H2" s="0" t="n">
        <v>154</v>
      </c>
      <c r="I2" s="0" t="n">
        <v>5.5</v>
      </c>
      <c r="J2" s="0" t="n">
        <v>1508.5</v>
      </c>
      <c r="K2" s="0" t="n">
        <v>0</v>
      </c>
      <c r="L2" s="5" t="b">
        <f aca="false">FALSE()</f>
        <v>0</v>
      </c>
    </row>
    <row r="3" customFormat="false" ht="15" hidden="false" customHeight="false" outlineLevel="0" collapsed="false">
      <c r="A3" s="0" t="s">
        <v>49</v>
      </c>
      <c r="B3" s="0" t="s">
        <v>50</v>
      </c>
      <c r="C3" s="0" t="s">
        <v>47</v>
      </c>
      <c r="D3" s="0" t="s">
        <v>48</v>
      </c>
      <c r="E3" s="0" t="n">
        <v>1522</v>
      </c>
      <c r="F3" s="0" t="n">
        <v>662</v>
      </c>
      <c r="G3" s="0" t="n">
        <v>69</v>
      </c>
      <c r="H3" s="0" t="n">
        <v>34</v>
      </c>
      <c r="I3" s="0" t="n">
        <v>5.5</v>
      </c>
      <c r="J3" s="0" t="n">
        <v>529</v>
      </c>
      <c r="K3" s="0" t="n">
        <v>0</v>
      </c>
      <c r="L3" s="5" t="b">
        <f aca="false">TRUE()</f>
        <v>1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47</v>
      </c>
      <c r="D4" s="0" t="s">
        <v>53</v>
      </c>
      <c r="E4" s="0" t="n">
        <v>363</v>
      </c>
      <c r="F4" s="0" t="n">
        <v>158</v>
      </c>
      <c r="G4" s="0" t="n">
        <v>68.9</v>
      </c>
      <c r="H4" s="0" t="n">
        <v>358</v>
      </c>
      <c r="I4" s="0" t="n">
        <v>2.8</v>
      </c>
      <c r="J4" s="0" t="n">
        <v>126</v>
      </c>
      <c r="K4" s="0" t="n">
        <v>0</v>
      </c>
      <c r="L4" s="5" t="b">
        <f aca="false">FALSE()</f>
        <v>0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47</v>
      </c>
      <c r="D5" s="0" t="s">
        <v>48</v>
      </c>
      <c r="E5" s="0" t="n">
        <v>378</v>
      </c>
      <c r="F5" s="0" t="n">
        <v>947</v>
      </c>
      <c r="G5" s="0" t="n">
        <v>12</v>
      </c>
      <c r="H5" s="0" t="n">
        <v>285</v>
      </c>
      <c r="I5" s="0" t="n">
        <v>5.5</v>
      </c>
      <c r="J5" s="0" t="n">
        <v>0</v>
      </c>
      <c r="K5" s="0" t="n">
        <v>253.3</v>
      </c>
      <c r="L5" s="5" t="b">
        <f aca="false">FALSE()</f>
        <v>0</v>
      </c>
    </row>
    <row r="6" customFormat="false" ht="15" hidden="false" customHeight="false" outlineLevel="0" collapsed="false">
      <c r="A6" s="0" t="s">
        <v>56</v>
      </c>
      <c r="B6" s="0" t="s">
        <v>57</v>
      </c>
      <c r="C6" s="0" t="s">
        <v>47</v>
      </c>
      <c r="D6" s="0" t="s">
        <v>53</v>
      </c>
      <c r="E6" s="0" t="n">
        <v>127</v>
      </c>
      <c r="F6" s="0" t="n">
        <v>477</v>
      </c>
      <c r="G6" s="0" t="n">
        <v>8</v>
      </c>
      <c r="H6" s="0" t="n">
        <v>347</v>
      </c>
      <c r="I6" s="0" t="n">
        <v>2.8</v>
      </c>
      <c r="J6" s="0" t="n">
        <v>0</v>
      </c>
      <c r="K6" s="0" t="n">
        <v>191</v>
      </c>
      <c r="L6" s="5" t="b">
        <f aca="false">FALSE()</f>
        <v>0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s">
        <v>47</v>
      </c>
      <c r="D7" s="0" t="s">
        <v>48</v>
      </c>
      <c r="E7" s="0" t="n">
        <v>2400</v>
      </c>
      <c r="F7" s="0" t="n">
        <v>750</v>
      </c>
      <c r="G7" s="0" t="n">
        <v>96</v>
      </c>
      <c r="H7" s="0" t="n">
        <v>213</v>
      </c>
      <c r="I7" s="0" t="n">
        <v>5.5</v>
      </c>
      <c r="J7" s="0" t="n">
        <v>1275</v>
      </c>
      <c r="K7" s="0" t="n">
        <v>0</v>
      </c>
      <c r="L7" s="5" t="b">
        <f aca="false">FALSE()</f>
        <v>0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62</v>
      </c>
      <c r="D8" s="0" t="s">
        <v>48</v>
      </c>
      <c r="E8" s="0" t="n">
        <v>1467</v>
      </c>
      <c r="F8" s="0" t="n">
        <v>629</v>
      </c>
      <c r="G8" s="0" t="n">
        <v>70</v>
      </c>
      <c r="H8" s="0" t="n">
        <v>29</v>
      </c>
      <c r="I8" s="0" t="n">
        <v>5.5</v>
      </c>
      <c r="J8" s="0" t="n">
        <v>523.5</v>
      </c>
      <c r="K8" s="0" t="n">
        <v>0</v>
      </c>
      <c r="L8" s="5" t="b">
        <f aca="false">TRUE()</f>
        <v>1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s">
        <v>62</v>
      </c>
      <c r="D9" s="0" t="s">
        <v>48</v>
      </c>
      <c r="E9" s="0" t="n">
        <v>718</v>
      </c>
      <c r="F9" s="0" t="n">
        <v>798</v>
      </c>
      <c r="G9" s="0" t="n">
        <v>27</v>
      </c>
      <c r="H9" s="0" t="n">
        <v>196</v>
      </c>
      <c r="I9" s="0" t="n">
        <v>5.5</v>
      </c>
      <c r="J9" s="0" t="n">
        <v>0</v>
      </c>
      <c r="K9" s="0" t="n">
        <v>0</v>
      </c>
      <c r="L9" s="5" t="b">
        <f aca="false">FALSE()</f>
        <v>0</v>
      </c>
    </row>
    <row r="10" customFormat="false" ht="15" hidden="false" customHeight="false" outlineLevel="0" collapsed="false">
      <c r="A10" s="0" t="s">
        <v>65</v>
      </c>
      <c r="B10" s="0" t="s">
        <v>66</v>
      </c>
      <c r="C10" s="0" t="s">
        <v>62</v>
      </c>
      <c r="D10" s="0" t="s">
        <v>48</v>
      </c>
      <c r="E10" s="0" t="n">
        <v>766</v>
      </c>
      <c r="F10" s="0" t="n">
        <v>442</v>
      </c>
      <c r="G10" s="0" t="n">
        <v>52</v>
      </c>
      <c r="H10" s="0" t="n">
        <v>194</v>
      </c>
      <c r="I10" s="0" t="n">
        <v>5.5</v>
      </c>
      <c r="J10" s="0" t="n">
        <v>103</v>
      </c>
      <c r="K10" s="0" t="n">
        <v>0</v>
      </c>
      <c r="L10" s="5" t="b">
        <f aca="false">FALSE()</f>
        <v>0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62</v>
      </c>
      <c r="D11" s="0" t="s">
        <v>48</v>
      </c>
      <c r="E11" s="0" t="n">
        <v>1247</v>
      </c>
      <c r="F11" s="0" t="n">
        <v>706</v>
      </c>
      <c r="G11" s="0" t="n">
        <v>53</v>
      </c>
      <c r="H11" s="0" t="n">
        <v>112</v>
      </c>
      <c r="I11" s="0" t="n">
        <v>5.5</v>
      </c>
      <c r="J11" s="0" t="n">
        <v>188</v>
      </c>
      <c r="K11" s="0" t="n">
        <v>0</v>
      </c>
      <c r="L11" s="5" t="b">
        <f aca="false">FALSE()</f>
        <v>0</v>
      </c>
    </row>
    <row r="12" customFormat="false" ht="15" hidden="false" customHeight="false" outlineLevel="0" collapsed="false">
      <c r="A12" s="0" t="s">
        <v>69</v>
      </c>
      <c r="B12" s="0" t="s">
        <v>70</v>
      </c>
      <c r="C12" s="0" t="s">
        <v>62</v>
      </c>
      <c r="D12" s="0" t="s">
        <v>53</v>
      </c>
      <c r="E12" s="0" t="n">
        <v>156</v>
      </c>
      <c r="F12" s="0" t="n">
        <v>784</v>
      </c>
      <c r="G12" s="0" t="n">
        <v>6</v>
      </c>
      <c r="H12" s="0" t="n">
        <v>109</v>
      </c>
      <c r="I12" s="0" t="n">
        <v>2.8</v>
      </c>
      <c r="J12" s="0" t="n">
        <v>0</v>
      </c>
      <c r="K12" s="0" t="n">
        <v>366.7</v>
      </c>
      <c r="L12" s="5" t="b">
        <f aca="false">FALSE()</f>
        <v>0</v>
      </c>
    </row>
    <row r="13" customFormat="false" ht="15" hidden="false" customHeight="false" outlineLevel="0" collapsed="false">
      <c r="A13" s="0" t="s">
        <v>71</v>
      </c>
      <c r="B13" s="0" t="s">
        <v>72</v>
      </c>
      <c r="C13" s="0" t="s">
        <v>62</v>
      </c>
      <c r="D13" s="0" t="s">
        <v>53</v>
      </c>
      <c r="E13" s="0" t="n">
        <v>109</v>
      </c>
      <c r="F13" s="0" t="n">
        <v>409</v>
      </c>
      <c r="G13" s="0" t="n">
        <v>8</v>
      </c>
      <c r="H13" s="0" t="n">
        <v>123</v>
      </c>
      <c r="I13" s="0" t="n">
        <v>2.8</v>
      </c>
      <c r="J13" s="0" t="n">
        <v>0</v>
      </c>
      <c r="K13" s="0" t="n">
        <v>163.7</v>
      </c>
      <c r="L13" s="5" t="b">
        <f aca="false">FALSE()</f>
        <v>0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0" t="s">
        <v>62</v>
      </c>
      <c r="D14" s="0" t="s">
        <v>53</v>
      </c>
      <c r="E14" s="0" t="n">
        <v>729</v>
      </c>
      <c r="F14" s="0" t="n">
        <v>243</v>
      </c>
      <c r="G14" s="0" t="n">
        <v>90</v>
      </c>
      <c r="H14" s="0" t="n">
        <v>25</v>
      </c>
      <c r="I14" s="0" t="n">
        <v>2.8</v>
      </c>
      <c r="J14" s="0" t="n">
        <v>364.5</v>
      </c>
      <c r="K14" s="0" t="n">
        <v>0</v>
      </c>
      <c r="L14" s="5" t="b">
        <f aca="false">TRUE()</f>
        <v>1</v>
      </c>
    </row>
    <row r="15" customFormat="false" ht="15" hidden="false" customHeight="false" outlineLevel="0" collapsed="false">
      <c r="A15" s="0" t="s">
        <v>75</v>
      </c>
      <c r="B15" s="0" t="s">
        <v>76</v>
      </c>
      <c r="C15" s="0" t="s">
        <v>62</v>
      </c>
      <c r="D15" s="0" t="s">
        <v>53</v>
      </c>
      <c r="E15" s="0" t="n">
        <v>1436</v>
      </c>
      <c r="F15" s="0" t="n">
        <v>449</v>
      </c>
      <c r="G15" s="0" t="n">
        <v>95.9</v>
      </c>
      <c r="H15" s="0" t="n">
        <v>250</v>
      </c>
      <c r="I15" s="0" t="n">
        <v>2.8</v>
      </c>
      <c r="J15" s="0" t="n">
        <v>762.5</v>
      </c>
      <c r="K15" s="0" t="n">
        <v>0</v>
      </c>
      <c r="L15" s="5" t="b">
        <f aca="false">FALSE()</f>
        <v>0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s">
        <v>79</v>
      </c>
      <c r="D16" s="0" t="s">
        <v>48</v>
      </c>
      <c r="E16" s="0" t="n">
        <v>548</v>
      </c>
      <c r="F16" s="0" t="n">
        <v>433</v>
      </c>
      <c r="G16" s="0" t="n">
        <v>38</v>
      </c>
      <c r="H16" s="0" t="n">
        <v>66</v>
      </c>
      <c r="I16" s="0" t="n">
        <v>5.5</v>
      </c>
      <c r="J16" s="0" t="n">
        <v>0</v>
      </c>
      <c r="K16" s="0" t="n">
        <v>0</v>
      </c>
      <c r="L16" s="5" t="b">
        <f aca="false">FALSE()</f>
        <v>0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s">
        <v>79</v>
      </c>
      <c r="D17" s="0" t="s">
        <v>48</v>
      </c>
      <c r="E17" s="0" t="n">
        <v>2267</v>
      </c>
      <c r="F17" s="0" t="n">
        <v>553</v>
      </c>
      <c r="G17" s="0" t="n">
        <v>123</v>
      </c>
      <c r="H17" s="0" t="n">
        <v>167</v>
      </c>
      <c r="I17" s="0" t="n">
        <v>5.5</v>
      </c>
      <c r="J17" s="0" t="n">
        <v>1437.5</v>
      </c>
      <c r="K17" s="0" t="n">
        <v>0</v>
      </c>
      <c r="L17" s="5" t="b">
        <f aca="false">FALSE()</f>
        <v>0</v>
      </c>
    </row>
    <row r="18" customFormat="false" ht="15" hidden="false" customHeight="false" outlineLevel="0" collapsed="false">
      <c r="A18" s="0" t="s">
        <v>82</v>
      </c>
      <c r="B18" s="0" t="s">
        <v>83</v>
      </c>
      <c r="C18" s="0" t="s">
        <v>79</v>
      </c>
      <c r="D18" s="0" t="s">
        <v>53</v>
      </c>
      <c r="E18" s="0" t="n">
        <v>418</v>
      </c>
      <c r="F18" s="0" t="n">
        <v>392</v>
      </c>
      <c r="G18" s="0" t="n">
        <v>32</v>
      </c>
      <c r="H18" s="0" t="n">
        <v>152</v>
      </c>
      <c r="I18" s="0" t="n">
        <v>2.8</v>
      </c>
      <c r="J18" s="0" t="n">
        <v>0</v>
      </c>
      <c r="K18" s="0" t="n">
        <v>0</v>
      </c>
      <c r="L18" s="5" t="b">
        <f aca="false">FALSE()</f>
        <v>0</v>
      </c>
    </row>
    <row r="19" customFormat="false" ht="15" hidden="false" customHeight="false" outlineLevel="0" collapsed="false">
      <c r="A19" s="0" t="s">
        <v>84</v>
      </c>
      <c r="B19" s="0" t="s">
        <v>85</v>
      </c>
      <c r="C19" s="0" t="s">
        <v>86</v>
      </c>
      <c r="D19" s="0" t="s">
        <v>48</v>
      </c>
      <c r="E19" s="0" t="n">
        <v>1783</v>
      </c>
      <c r="F19" s="0" t="n">
        <v>743</v>
      </c>
      <c r="G19" s="0" t="n">
        <v>72</v>
      </c>
      <c r="H19" s="0" t="n">
        <v>23</v>
      </c>
      <c r="I19" s="0" t="n">
        <v>5.5</v>
      </c>
      <c r="J19" s="0" t="n">
        <v>668.5</v>
      </c>
      <c r="K19" s="0" t="n">
        <v>0</v>
      </c>
      <c r="L19" s="5" t="b">
        <f aca="false">TRUE()</f>
        <v>1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s">
        <v>86</v>
      </c>
      <c r="D20" s="0" t="s">
        <v>48</v>
      </c>
      <c r="E20" s="0" t="n">
        <v>429</v>
      </c>
      <c r="F20" s="0" t="n">
        <v>1432</v>
      </c>
      <c r="G20" s="0" t="n">
        <v>9</v>
      </c>
      <c r="H20" s="0" t="n">
        <v>125</v>
      </c>
      <c r="I20" s="0" t="n">
        <v>5.5</v>
      </c>
      <c r="J20" s="0" t="n">
        <v>0</v>
      </c>
      <c r="K20" s="0" t="n">
        <v>525.7</v>
      </c>
      <c r="L20" s="5" t="b">
        <f aca="false">FALSE()</f>
        <v>0</v>
      </c>
    </row>
    <row r="21" customFormat="false" ht="15" hidden="false" customHeight="false" outlineLevel="0" collapsed="false">
      <c r="A21" s="0" t="s">
        <v>89</v>
      </c>
      <c r="B21" s="0" t="s">
        <v>90</v>
      </c>
      <c r="C21" s="0" t="s">
        <v>86</v>
      </c>
      <c r="D21" s="0" t="s">
        <v>48</v>
      </c>
      <c r="E21" s="0" t="n">
        <v>569</v>
      </c>
      <c r="F21" s="0" t="n">
        <v>610</v>
      </c>
      <c r="G21" s="0" t="n">
        <v>28</v>
      </c>
      <c r="H21" s="0" t="n">
        <v>295</v>
      </c>
      <c r="I21" s="0" t="n">
        <v>5.5</v>
      </c>
      <c r="J21" s="0" t="n">
        <v>0</v>
      </c>
      <c r="K21" s="0" t="n">
        <v>0</v>
      </c>
      <c r="L21" s="5" t="b">
        <f aca="false">FALSE()</f>
        <v>0</v>
      </c>
    </row>
    <row r="22" customFormat="false" ht="15" hidden="false" customHeight="false" outlineLevel="0" collapsed="false">
      <c r="A22" s="0" t="s">
        <v>91</v>
      </c>
      <c r="B22" s="0" t="s">
        <v>92</v>
      </c>
      <c r="C22" s="0" t="s">
        <v>86</v>
      </c>
      <c r="D22" s="0" t="s">
        <v>53</v>
      </c>
      <c r="E22" s="0" t="n">
        <v>183</v>
      </c>
      <c r="F22" s="0" t="n">
        <v>459</v>
      </c>
      <c r="G22" s="0" t="n">
        <v>12</v>
      </c>
      <c r="H22" s="0" t="n">
        <v>129</v>
      </c>
      <c r="I22" s="0" t="n">
        <v>2.8</v>
      </c>
      <c r="J22" s="0" t="n">
        <v>0</v>
      </c>
      <c r="K22" s="0" t="n">
        <v>123</v>
      </c>
      <c r="L22" s="5" t="b">
        <f aca="false">FALSE()</f>
        <v>0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0" t="s">
        <v>86</v>
      </c>
      <c r="D23" s="0" t="s">
        <v>53</v>
      </c>
      <c r="E23" s="0" t="n">
        <v>232</v>
      </c>
      <c r="F23" s="0" t="n">
        <v>536</v>
      </c>
      <c r="G23" s="0" t="n">
        <v>13</v>
      </c>
      <c r="H23" s="0" t="n">
        <v>144</v>
      </c>
      <c r="I23" s="0" t="n">
        <v>2.8</v>
      </c>
      <c r="J23" s="0" t="n">
        <v>0</v>
      </c>
      <c r="K23" s="0" t="n">
        <v>125.3</v>
      </c>
      <c r="L23" s="5" t="b">
        <f aca="false">FALSE()</f>
        <v>0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s">
        <v>86</v>
      </c>
      <c r="D24" s="0" t="s">
        <v>48</v>
      </c>
      <c r="E24" s="0" t="n">
        <v>3253</v>
      </c>
      <c r="F24" s="0" t="n">
        <v>723</v>
      </c>
      <c r="G24" s="0" t="n">
        <v>135</v>
      </c>
      <c r="H24" s="0" t="n">
        <v>269</v>
      </c>
      <c r="I24" s="0" t="n">
        <v>5.5</v>
      </c>
      <c r="J24" s="0" t="n">
        <v>2168.5</v>
      </c>
      <c r="K24" s="0" t="n">
        <v>0</v>
      </c>
      <c r="L24" s="5" t="b">
        <f aca="false">FALSE()</f>
        <v>0</v>
      </c>
    </row>
    <row r="25" customFormat="false" ht="15" hidden="false" customHeight="false" outlineLevel="0" collapsed="false">
      <c r="A25" s="0" t="s">
        <v>97</v>
      </c>
      <c r="B25" s="0" t="s">
        <v>98</v>
      </c>
      <c r="C25" s="0" t="s">
        <v>86</v>
      </c>
      <c r="D25" s="0" t="s">
        <v>53</v>
      </c>
      <c r="E25" s="0" t="n">
        <v>256</v>
      </c>
      <c r="F25" s="0" t="n">
        <v>164</v>
      </c>
      <c r="G25" s="0" t="n">
        <v>46.8</v>
      </c>
      <c r="H25" s="0" t="n">
        <v>180</v>
      </c>
      <c r="I25" s="0" t="n">
        <v>2.8</v>
      </c>
      <c r="J25" s="0" t="n">
        <v>10</v>
      </c>
      <c r="K25" s="0" t="n">
        <v>0</v>
      </c>
      <c r="L25" s="5" t="b">
        <f aca="false">FALSE()</f>
        <v>0</v>
      </c>
    </row>
    <row r="26" customFormat="false" ht="15" hidden="false" customHeight="false" outlineLevel="0" collapsed="false">
      <c r="A26" s="0" t="s">
        <v>99</v>
      </c>
      <c r="B26" s="0" t="s">
        <v>100</v>
      </c>
      <c r="C26" s="0" t="s">
        <v>86</v>
      </c>
      <c r="D26" s="0" t="s">
        <v>53</v>
      </c>
      <c r="E26" s="0" t="n">
        <v>1118</v>
      </c>
      <c r="F26" s="0" t="n">
        <v>329</v>
      </c>
      <c r="G26" s="0" t="n">
        <v>101.9</v>
      </c>
      <c r="H26" s="0" t="n">
        <v>35</v>
      </c>
      <c r="I26" s="0" t="n">
        <v>2.8</v>
      </c>
      <c r="J26" s="0" t="n">
        <v>624.5</v>
      </c>
      <c r="K26" s="0" t="n">
        <v>0</v>
      </c>
      <c r="L26" s="5" t="b">
        <f aca="false">TRUE()</f>
        <v>1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s">
        <v>103</v>
      </c>
      <c r="D27" s="0" t="s">
        <v>48</v>
      </c>
      <c r="E27" s="0" t="n">
        <v>2133</v>
      </c>
      <c r="F27" s="0" t="n">
        <v>547</v>
      </c>
      <c r="G27" s="0" t="n">
        <v>117</v>
      </c>
      <c r="H27" s="0" t="n">
        <v>353</v>
      </c>
      <c r="I27" s="0" t="n">
        <v>5.5</v>
      </c>
      <c r="J27" s="0" t="n">
        <v>1312.5</v>
      </c>
      <c r="K27" s="0" t="n">
        <v>0</v>
      </c>
      <c r="L27" s="5" t="b">
        <f aca="false">FALSE()</f>
        <v>0</v>
      </c>
    </row>
    <row r="28" customFormat="false" ht="15" hidden="false" customHeight="false" outlineLevel="0" collapsed="false">
      <c r="A28" s="0" t="s">
        <v>104</v>
      </c>
      <c r="B28" s="0" t="s">
        <v>105</v>
      </c>
      <c r="C28" s="0" t="s">
        <v>103</v>
      </c>
      <c r="D28" s="0" t="s">
        <v>53</v>
      </c>
      <c r="E28" s="0" t="n">
        <v>472</v>
      </c>
      <c r="F28" s="0" t="n">
        <v>289</v>
      </c>
      <c r="G28" s="0" t="n">
        <v>49</v>
      </c>
      <c r="H28" s="0" t="n">
        <v>327</v>
      </c>
      <c r="I28" s="0" t="n">
        <v>2.8</v>
      </c>
      <c r="J28" s="0" t="n">
        <v>38.5</v>
      </c>
      <c r="K28" s="0" t="n">
        <v>0</v>
      </c>
      <c r="L28" s="5" t="b">
        <f aca="false">FALSE()</f>
        <v>0</v>
      </c>
    </row>
    <row r="29" customFormat="false" ht="15" hidden="false" customHeight="false" outlineLevel="0" collapsed="false">
      <c r="A29" s="0" t="s">
        <v>106</v>
      </c>
      <c r="B29" s="0" t="s">
        <v>107</v>
      </c>
      <c r="C29" s="0" t="s">
        <v>103</v>
      </c>
      <c r="D29" s="0" t="s">
        <v>48</v>
      </c>
      <c r="E29" s="0" t="n">
        <v>756</v>
      </c>
      <c r="F29" s="0" t="n">
        <v>540</v>
      </c>
      <c r="G29" s="0" t="n">
        <v>42</v>
      </c>
      <c r="H29" s="0" t="n">
        <v>271</v>
      </c>
      <c r="I29" s="0" t="n">
        <v>5.5</v>
      </c>
      <c r="J29" s="0" t="n">
        <v>0</v>
      </c>
      <c r="K29" s="0" t="n">
        <v>0</v>
      </c>
      <c r="L29" s="5" t="b">
        <f aca="false">FALSE()</f>
        <v>0</v>
      </c>
    </row>
    <row r="30" customFormat="false" ht="15" hidden="false" customHeight="false" outlineLevel="0" collapsed="false">
      <c r="A30" s="0" t="s">
        <v>108</v>
      </c>
      <c r="B30" s="0" t="s">
        <v>109</v>
      </c>
      <c r="C30" s="0" t="s">
        <v>103</v>
      </c>
      <c r="D30" s="0" t="s">
        <v>53</v>
      </c>
      <c r="E30" s="0" t="n">
        <v>312</v>
      </c>
      <c r="F30" s="0" t="n">
        <v>132</v>
      </c>
      <c r="G30" s="0" t="n">
        <v>70.9</v>
      </c>
      <c r="H30" s="0" t="n">
        <v>352</v>
      </c>
      <c r="I30" s="0" t="n">
        <v>2.8</v>
      </c>
      <c r="J30" s="0" t="n">
        <v>114</v>
      </c>
      <c r="K30" s="0" t="n">
        <v>0</v>
      </c>
      <c r="L30" s="5" t="b">
        <f aca="false">FALSE()</f>
        <v>0</v>
      </c>
    </row>
    <row r="31" customFormat="false" ht="15" hidden="false" customHeight="false" outlineLevel="0" collapsed="false">
      <c r="A31" s="0" t="s">
        <v>110</v>
      </c>
      <c r="B31" s="0" t="s">
        <v>111</v>
      </c>
      <c r="C31" s="0" t="s">
        <v>112</v>
      </c>
      <c r="D31" s="0" t="s">
        <v>53</v>
      </c>
      <c r="E31" s="0" t="n">
        <v>153</v>
      </c>
      <c r="F31" s="0" t="n">
        <v>511</v>
      </c>
      <c r="G31" s="0" t="n">
        <v>9</v>
      </c>
      <c r="H31" s="0" t="n">
        <v>324</v>
      </c>
      <c r="I31" s="0" t="n">
        <v>2.8</v>
      </c>
      <c r="J31" s="0" t="n">
        <v>0</v>
      </c>
      <c r="K31" s="0" t="n">
        <v>187.7</v>
      </c>
      <c r="L31" s="5" t="b">
        <f aca="false">FALSE()</f>
        <v>0</v>
      </c>
    </row>
    <row r="34" customFormat="false" ht="15" hidden="false" customHeight="false" outlineLevel="0" collapsed="false">
      <c r="A34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7" min="5" style="0" width="19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</row>
    <row r="2" customFormat="false" ht="15" hidden="false" customHeight="false" outlineLevel="0" collapsed="false">
      <c r="A2" s="0" t="s">
        <v>84</v>
      </c>
      <c r="B2" s="0" t="s">
        <v>85</v>
      </c>
      <c r="C2" s="0" t="s">
        <v>110</v>
      </c>
      <c r="D2" s="0" t="s">
        <v>111</v>
      </c>
      <c r="E2" s="0" t="n">
        <v>103</v>
      </c>
      <c r="F2" s="0" t="n">
        <v>55.9</v>
      </c>
      <c r="G2" s="0" t="n">
        <v>5757.7</v>
      </c>
      <c r="H2" s="5" t="b">
        <f aca="false">TRUE()</f>
        <v>1</v>
      </c>
    </row>
    <row r="3" customFormat="false" ht="15" hidden="false" customHeight="false" outlineLevel="0" collapsed="false">
      <c r="A3" s="0" t="s">
        <v>60</v>
      </c>
      <c r="B3" s="0" t="s">
        <v>61</v>
      </c>
      <c r="C3" s="0" t="s">
        <v>69</v>
      </c>
      <c r="D3" s="0" t="s">
        <v>70</v>
      </c>
      <c r="E3" s="0" t="n">
        <v>367</v>
      </c>
      <c r="F3" s="0" t="n">
        <v>10.712</v>
      </c>
      <c r="G3" s="0" t="n">
        <v>3927.73</v>
      </c>
      <c r="H3" s="5" t="b">
        <f aca="false">TRUE()</f>
        <v>1</v>
      </c>
    </row>
    <row r="4" customFormat="false" ht="15" hidden="false" customHeight="false" outlineLevel="0" collapsed="false">
      <c r="A4" s="0" t="s">
        <v>49</v>
      </c>
      <c r="B4" s="0" t="s">
        <v>50</v>
      </c>
      <c r="C4" s="0" t="s">
        <v>110</v>
      </c>
      <c r="D4" s="0" t="s">
        <v>111</v>
      </c>
      <c r="E4" s="0" t="n">
        <v>85</v>
      </c>
      <c r="F4" s="0" t="n">
        <v>43.809</v>
      </c>
      <c r="G4" s="0" t="n">
        <v>3709.16</v>
      </c>
      <c r="H4" s="5" t="b">
        <f aca="false">TRUE()</f>
        <v>1</v>
      </c>
    </row>
    <row r="5" customFormat="false" ht="15" hidden="false" customHeight="false" outlineLevel="0" collapsed="false">
      <c r="A5" s="0" t="s">
        <v>84</v>
      </c>
      <c r="B5" s="0" t="s">
        <v>85</v>
      </c>
      <c r="C5" s="0" t="s">
        <v>87</v>
      </c>
      <c r="D5" s="0" t="s">
        <v>88</v>
      </c>
      <c r="E5" s="0" t="n">
        <v>317</v>
      </c>
      <c r="F5" s="0" t="n">
        <v>8.618</v>
      </c>
      <c r="G5" s="0" t="n">
        <v>2733.34</v>
      </c>
      <c r="H5" s="5" t="b">
        <f aca="false">TRUE()</f>
        <v>1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56</v>
      </c>
      <c r="D6" s="0" t="s">
        <v>57</v>
      </c>
      <c r="E6" s="0" t="n">
        <v>191</v>
      </c>
      <c r="F6" s="0" t="n">
        <v>11.741</v>
      </c>
      <c r="G6" s="0" t="n">
        <v>2242.53</v>
      </c>
      <c r="H6" s="5" t="b">
        <f aca="false">TRUE()</f>
        <v>1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s">
        <v>54</v>
      </c>
      <c r="D7" s="0" t="s">
        <v>55</v>
      </c>
      <c r="E7" s="0" t="n">
        <v>253</v>
      </c>
      <c r="F7" s="0" t="n">
        <v>6.264</v>
      </c>
      <c r="G7" s="0" t="n">
        <v>1586.88</v>
      </c>
      <c r="H7" s="5" t="b">
        <f aca="false">TRUE()</f>
        <v>1</v>
      </c>
    </row>
    <row r="8" customFormat="false" ht="15" hidden="false" customHeight="false" outlineLevel="0" collapsed="false">
      <c r="A8" s="0" t="s">
        <v>84</v>
      </c>
      <c r="B8" s="0" t="s">
        <v>85</v>
      </c>
      <c r="C8" s="0" t="s">
        <v>91</v>
      </c>
      <c r="D8" s="0" t="s">
        <v>92</v>
      </c>
      <c r="E8" s="0" t="n">
        <v>123</v>
      </c>
      <c r="F8" s="0" t="n">
        <v>12.695</v>
      </c>
      <c r="G8" s="0" t="n">
        <v>1561.49</v>
      </c>
      <c r="H8" s="5" t="b">
        <f aca="false">TRUE()</f>
        <v>1</v>
      </c>
    </row>
    <row r="9" customFormat="false" ht="15" hidden="false" customHeight="false" outlineLevel="0" collapsed="false">
      <c r="A9" s="0" t="s">
        <v>84</v>
      </c>
      <c r="B9" s="0" t="s">
        <v>85</v>
      </c>
      <c r="C9" s="0" t="s">
        <v>93</v>
      </c>
      <c r="D9" s="0" t="s">
        <v>94</v>
      </c>
      <c r="E9" s="0" t="n">
        <v>125</v>
      </c>
      <c r="F9" s="0" t="n">
        <v>11.37</v>
      </c>
      <c r="G9" s="0" t="n">
        <v>1425.04</v>
      </c>
      <c r="H9" s="5" t="b">
        <f aca="false">TRUE()</f>
        <v>1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s">
        <v>71</v>
      </c>
      <c r="D10" s="0" t="s">
        <v>72</v>
      </c>
      <c r="E10" s="0" t="n">
        <v>157</v>
      </c>
      <c r="F10" s="0" t="n">
        <v>8.432</v>
      </c>
      <c r="G10" s="0" t="n">
        <v>1322.42</v>
      </c>
      <c r="H10" s="5" t="b">
        <f aca="false">TRUE()</f>
        <v>1</v>
      </c>
    </row>
    <row r="11" customFormat="false" ht="15" hidden="false" customHeight="false" outlineLevel="0" collapsed="false">
      <c r="A11" s="0" t="s">
        <v>99</v>
      </c>
      <c r="B11" s="0" t="s">
        <v>100</v>
      </c>
      <c r="C11" s="0" t="s">
        <v>87</v>
      </c>
      <c r="D11" s="0" t="s">
        <v>88</v>
      </c>
      <c r="E11" s="0" t="n">
        <v>208</v>
      </c>
      <c r="F11" s="0" t="n">
        <v>1.064</v>
      </c>
      <c r="G11" s="0" t="n">
        <v>221.84</v>
      </c>
      <c r="H11" s="5" t="b">
        <f aca="false">TRUE()</f>
        <v>1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71</v>
      </c>
      <c r="D12" s="0" t="s">
        <v>72</v>
      </c>
      <c r="E12" s="0" t="n">
        <v>7</v>
      </c>
      <c r="F12" s="0" t="n">
        <v>4.156</v>
      </c>
      <c r="G12" s="0" t="n">
        <v>28.4</v>
      </c>
      <c r="H12" s="5" t="b">
        <f aca="false">TRUE()</f>
        <v>1</v>
      </c>
    </row>
    <row r="15" customFormat="false" ht="15" hidden="false" customHeight="false" outlineLevel="0" collapsed="false">
      <c r="A15" s="6" t="s">
        <v>122</v>
      </c>
      <c r="B15" s="7" t="n">
        <f aca="false">SUM(E2:E12)</f>
        <v>1936</v>
      </c>
    </row>
    <row r="16" customFormat="false" ht="15" hidden="false" customHeight="false" outlineLevel="0" collapsed="false">
      <c r="A16" s="6" t="s">
        <v>123</v>
      </c>
      <c r="B16" s="7" t="n">
        <f aca="false">SUM(G2:G12)</f>
        <v>24516.53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9"/>
    <col collapsed="false" customWidth="true" hidden="false" outlineLevel="0" max="4" min="4" style="0" width="26"/>
    <col collapsed="false" customWidth="true" hidden="false" outlineLevel="0" max="5" min="5" style="0" width="25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</row>
    <row r="2" customFormat="false" ht="15" hidden="false" customHeight="false" outlineLevel="0" collapsed="false">
      <c r="A2" s="0" t="s">
        <v>130</v>
      </c>
      <c r="B2" s="0" t="n">
        <v>1</v>
      </c>
      <c r="C2" s="0" t="n">
        <v>1936</v>
      </c>
      <c r="D2" s="0" t="n">
        <v>16.5</v>
      </c>
      <c r="E2" s="0" t="n">
        <v>8</v>
      </c>
      <c r="F2" s="0" t="n">
        <v>713538.27</v>
      </c>
    </row>
    <row r="3" customFormat="false" ht="15" hidden="false" customHeight="false" outlineLevel="0" collapsed="false">
      <c r="A3" s="0" t="s">
        <v>131</v>
      </c>
      <c r="B3" s="0" t="n">
        <v>1.15</v>
      </c>
      <c r="C3" s="0" t="n">
        <v>2492</v>
      </c>
      <c r="D3" s="0" t="n">
        <v>24.9</v>
      </c>
      <c r="E3" s="0" t="n">
        <v>8</v>
      </c>
      <c r="F3" s="0" t="n">
        <v>839062.29</v>
      </c>
    </row>
    <row r="4" customFormat="false" ht="15" hidden="false" customHeight="false" outlineLevel="0" collapsed="false">
      <c r="A4" s="0" t="s">
        <v>132</v>
      </c>
      <c r="B4" s="0" t="n">
        <v>0.85</v>
      </c>
      <c r="C4" s="0" t="n">
        <v>1381</v>
      </c>
      <c r="D4" s="0" t="n">
        <v>10.1</v>
      </c>
      <c r="E4" s="0" t="n">
        <v>8</v>
      </c>
      <c r="F4" s="0" t="n">
        <v>511080.58</v>
      </c>
    </row>
    <row r="7" customFormat="false" ht="15" hidden="false" customHeight="false" outlineLevel="0" collapsed="false">
      <c r="A7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3" t="s">
        <v>2</v>
      </c>
      <c r="B1" s="3" t="s">
        <v>134</v>
      </c>
      <c r="C1" s="3" t="s">
        <v>135</v>
      </c>
    </row>
    <row r="2" customFormat="false" ht="15" hidden="false" customHeight="false" outlineLevel="0" collapsed="false">
      <c r="A2" s="0" t="s">
        <v>136</v>
      </c>
      <c r="B2" s="0" t="n">
        <v>1936</v>
      </c>
      <c r="C2" s="0" t="n">
        <v>1936</v>
      </c>
    </row>
    <row r="3" customFormat="false" ht="15" hidden="false" customHeight="false" outlineLevel="0" collapsed="false">
      <c r="A3" s="0" t="s">
        <v>137</v>
      </c>
      <c r="B3" s="0" t="n">
        <v>59384.72</v>
      </c>
      <c r="C3" s="0" t="n">
        <v>24516.53</v>
      </c>
    </row>
    <row r="4" customFormat="false" ht="15" hidden="false" customHeight="false" outlineLevel="0" collapsed="false">
      <c r="A4" s="0" t="s">
        <v>138</v>
      </c>
      <c r="B4" s="0" t="n">
        <v>9818</v>
      </c>
      <c r="C4" s="0" t="n">
        <v>9816</v>
      </c>
    </row>
    <row r="5" customFormat="false" ht="15" hidden="false" customHeight="false" outlineLevel="0" collapsed="false">
      <c r="A5" s="0" t="s">
        <v>139</v>
      </c>
      <c r="B5" s="0" t="n">
        <v>530643.29</v>
      </c>
      <c r="C5" s="0" t="n">
        <v>489175.73</v>
      </c>
    </row>
    <row r="6" customFormat="false" ht="15" hidden="false" customHeight="false" outlineLevel="0" collapsed="false">
      <c r="A6" s="0" t="s">
        <v>140</v>
      </c>
      <c r="B6" s="0" t="n">
        <v>672070.71</v>
      </c>
      <c r="C6" s="0" t="n">
        <v>713538.27</v>
      </c>
    </row>
    <row r="8" customFormat="false" ht="15" hidden="false" customHeight="false" outlineLevel="0" collapsed="false">
      <c r="A8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142</v>
      </c>
    </row>
    <row r="3" customFormat="false" ht="54.75" hidden="false" customHeight="true" outlineLevel="0" collapsed="false">
      <c r="A3" s="6" t="s">
        <v>143</v>
      </c>
      <c r="B3" s="8" t="s">
        <v>144</v>
      </c>
    </row>
    <row r="4" customFormat="false" ht="54.75" hidden="false" customHeight="true" outlineLevel="0" collapsed="false">
      <c r="A4" s="6" t="s">
        <v>145</v>
      </c>
      <c r="B4" s="8" t="s">
        <v>146</v>
      </c>
    </row>
    <row r="5" customFormat="false" ht="54.75" hidden="false" customHeight="true" outlineLevel="0" collapsed="false">
      <c r="A5" s="6" t="s">
        <v>147</v>
      </c>
      <c r="B5" s="8" t="s">
        <v>148</v>
      </c>
    </row>
    <row r="6" customFormat="false" ht="54.75" hidden="false" customHeight="true" outlineLevel="0" collapsed="false">
      <c r="A6" s="6" t="s">
        <v>149</v>
      </c>
      <c r="B6" s="8" t="s">
        <v>150</v>
      </c>
    </row>
    <row r="7" customFormat="false" ht="54.75" hidden="false" customHeight="true" outlineLevel="0" collapsed="false">
      <c r="A7" s="6" t="s">
        <v>151</v>
      </c>
      <c r="B7" s="8" t="s">
        <v>152</v>
      </c>
    </row>
    <row r="8" customFormat="false" ht="54.75" hidden="false" customHeight="true" outlineLevel="0" collapsed="false">
      <c r="A8" s="6" t="s">
        <v>153</v>
      </c>
      <c r="B8" s="8" t="s">
        <v>154</v>
      </c>
    </row>
    <row r="9" customFormat="false" ht="54.75" hidden="false" customHeight="true" outlineLevel="0" collapsed="false">
      <c r="A9" s="6" t="s">
        <v>155</v>
      </c>
      <c r="B9" s="8" t="s">
        <v>156</v>
      </c>
    </row>
    <row r="10" customFormat="false" ht="54.75" hidden="false" customHeight="true" outlineLevel="0" collapsed="false">
      <c r="A10" s="6" t="s">
        <v>157</v>
      </c>
      <c r="B10" s="8" t="s">
        <v>158</v>
      </c>
    </row>
    <row r="11" customFormat="false" ht="54.75" hidden="false" customHeight="true" outlineLevel="0" collapsed="false">
      <c r="A11" s="6" t="s">
        <v>159</v>
      </c>
      <c r="B11" s="8" t="s">
        <v>160</v>
      </c>
    </row>
    <row r="12" customFormat="false" ht="54.75" hidden="false" customHeight="true" outlineLevel="0" collapsed="false">
      <c r="A12" s="6" t="s">
        <v>161</v>
      </c>
      <c r="B12" s="8" t="s">
        <v>162</v>
      </c>
    </row>
    <row r="13" customFormat="false" ht="54.75" hidden="false" customHeight="true" outlineLevel="0" collapsed="false">
      <c r="A13" s="6" t="s">
        <v>163</v>
      </c>
      <c r="B13" s="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2026-08-08T13:04:14Z</dcterms:created>
  <dc:creator>openpyxl</dc:creator>
  <dc:description/>
  <dc:language>en-US</dc:language>
  <cp:lastModifiedBy/>
  <dcterms:modified xsi:type="dcterms:W3CDTF">2026-08-08T13:04:14Z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